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 activeTab="1"/>
  </bookViews>
  <sheets>
    <sheet name="Instructions" sheetId="1" r:id="rId1"/>
    <sheet name="Dataset" sheetId="2" r:id="rId2"/>
  </sheets>
  <calcPr calcId="144525"/>
</workbook>
</file>

<file path=xl/calcChain.xml><?xml version="1.0" encoding="utf-8"?>
<calcChain xmlns="http://schemas.openxmlformats.org/spreadsheetml/2006/main">
  <c r="I2" i="2" l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</calcChain>
</file>

<file path=xl/sharedStrings.xml><?xml version="1.0" encoding="utf-8"?>
<sst xmlns="http://schemas.openxmlformats.org/spreadsheetml/2006/main" count="166" uniqueCount="129">
  <si>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</si>
  <si>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</si>
  <si>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</si>
  <si>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</si>
  <si>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</si>
  <si>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</si>
  <si>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</si>
  <si>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</si>
  <si>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</si>
  <si>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</si>
  <si>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</si>
  <si>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</si>
  <si>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</si>
  <si>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</si>
  <si>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</si>
  <si>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</si>
  <si>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</si>
  <si>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</si>
  <si>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</si>
  <si>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</si>
  <si>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</si>
  <si>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</si>
  <si>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</si>
  <si>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</si>
  <si>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</si>
  <si>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</si>
  <si>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</si>
  <si>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</si>
  <si>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</si>
  <si>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</si>
  <si>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</si>
  <si>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</si>
  <si>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</si>
  <si>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</si>
  <si>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</si>
  <si>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</si>
  <si>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</si>
  <si>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</si>
  <si>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</si>
  <si>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</si>
  <si>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</si>
  <si>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</si>
  <si>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</si>
  <si>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</si>
  <si>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</si>
  <si>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</si>
  <si>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</si>
  <si>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</si>
  <si>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</si>
  <si>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</si>
  <si>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</si>
  <si>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</si>
  <si>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</si>
  <si>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</si>
  <si>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</si>
  <si>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</si>
  <si>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</si>
  <si>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</si>
  <si>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</si>
  <si>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</si>
  <si>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</si>
  <si>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</si>
  <si>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</si>
  <si>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</si>
  <si>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</si>
  <si>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</si>
  <si>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</si>
  <si>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</si>
  <si>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</si>
  <si>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</si>
  <si>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</si>
  <si>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</si>
  <si>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</si>
  <si>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</si>
  <si>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</si>
  <si>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</si>
  <si>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</si>
  <si>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</si>
  <si>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</si>
  <si>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</si>
  <si>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</si>
  <si>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</si>
  <si>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</si>
  <si>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</si>
  <si>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</si>
  <si>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</si>
  <si>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</si>
  <si>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</si>
  <si>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</si>
  <si>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</si>
  <si>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</si>
  <si>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</si>
  <si>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</si>
  <si>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</si>
  <si>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</si>
  <si>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</si>
  <si>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</si>
  <si>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</si>
  <si>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</si>
  <si>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</si>
  <si>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</si>
  <si>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</si>
  <si>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</si>
  <si>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</si>
  <si>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</si>
  <si>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</si>
  <si>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</si>
  <si>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</si>
  <si>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</si>
  <si>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</si>
  <si>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</si>
  <si>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</si>
  <si>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Handle Missing Values in price column by using statistical measure median because the data set conatin outliers</t>
  </si>
  <si>
    <t>Unkown</t>
  </si>
  <si>
    <t>Unknown</t>
  </si>
  <si>
    <t>a)</t>
  </si>
  <si>
    <t>b)</t>
  </si>
  <si>
    <t>It prevents  from making false assumptions about a product's category preffer "Unknown"</t>
  </si>
  <si>
    <t>The product name start with small letter.it cleaned by using Find and  replace method</t>
  </si>
  <si>
    <t>laptop,smartphone,headphines</t>
  </si>
  <si>
    <t>typso present in category is Electroni</t>
  </si>
  <si>
    <t>c)</t>
  </si>
  <si>
    <t>Text format and typso corrected using find and replace</t>
  </si>
  <si>
    <t>Manufacturing Date</t>
  </si>
  <si>
    <t>Country Code</t>
  </si>
  <si>
    <t>Product Brand</t>
  </si>
  <si>
    <t xml:space="preserve">3 duplicate values and 31unique  values are present
Data--Remove duplicate
</t>
  </si>
  <si>
    <t xml:space="preserve">3 duplicate values and 31unique  values are pre
</t>
  </si>
  <si>
    <t xml:space="preserve">3 duplicate rows  present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</si>
</sst>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-F800]dddd\,\ mmmm\ dd\,\ 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 applyFont="1" applyAlignment="1"/>
    <xf numFmtId="14" fontId="7" fillId="2" borderId="0" xfId="0" applyNumberFormat="1" applyFont="1" applyFill="1" applyAlignment="1">
      <alignment horizontal="center"/>
    </xf>
    <xf numFmtId="14" fontId="0" fillId="0" borderId="0" xfId="0" applyNumberFormat="1" applyFont="1" applyAlignment="1"/>
    <xf numFmtId="165" fontId="0" fillId="0" borderId="0" xfId="0" applyNumberFormat="1" applyFont="1" applyAlignme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Border="1" applyAlignment="1"/>
    <xf numFmtId="0" fontId="10" fillId="0" borderId="0" xfId="0" applyFont="1" applyAlignment="1"/>
  </cellXfs>
  <cellStyles count="1">
    <cellStyle name="Normal" xfId="0" builtinId="0"/>
  </cellStyles>
  <dxfs count="1"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5" workbookViewId="0">
      <selection activeCell="F26" sqref="F2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2" t="s">
        <v>1</v>
      </c>
    </row>
    <row r="4" spans="1:11" ht="15.75" customHeight="1" x14ac:dyDescent="0.25">
      <c r="C4" s="23" t="s">
        <v>2</v>
      </c>
    </row>
    <row r="5" spans="1:11" ht="15.75" customHeight="1" x14ac:dyDescent="0.25">
      <c r="B5" s="4"/>
      <c r="C5" s="2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topLeftCell="A29" zoomScale="89" zoomScaleNormal="89" workbookViewId="0">
      <selection activeCell="B44" sqref="B44:I44"/>
    </sheetView>
  </sheetViews>
  <sheetFormatPr defaultColWidth="12.5703125" defaultRowHeight="15" customHeight="1" x14ac:dyDescent="0.2"/>
  <cols>
    <col min="1" max="3" width="12.5703125" customWidth="1"/>
    <col min="4" max="4" width="12.5703125" style="18" customWidth="1"/>
    <col min="5" max="6" width="12.5703125" customWidth="1"/>
    <col min="7" max="7" width="20.140625" style="20" customWidth="1"/>
    <col min="8" max="8" width="16.42578125" customWidth="1"/>
    <col min="9" max="9" width="22.14062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15" t="s">
        <v>22</v>
      </c>
      <c r="E1" s="9" t="s">
        <v>23</v>
      </c>
      <c r="F1" s="9" t="s">
        <v>24</v>
      </c>
      <c r="G1" s="19" t="s">
        <v>123</v>
      </c>
      <c r="H1" s="9" t="s">
        <v>124</v>
      </c>
      <c r="I1" s="9" t="s">
        <v>125</v>
      </c>
    </row>
    <row r="2" spans="1:16" ht="15.75" customHeight="1" x14ac:dyDescent="0.2">
      <c r="A2" s="10" t="s">
        <v>25</v>
      </c>
      <c r="B2" s="10" t="s">
        <v>58</v>
      </c>
      <c r="C2" s="10" t="s">
        <v>26</v>
      </c>
      <c r="D2" s="16">
        <v>1000</v>
      </c>
      <c r="E2" s="10">
        <v>30</v>
      </c>
      <c r="F2" s="10" t="s">
        <v>27</v>
      </c>
      <c r="G2" s="21" t="str">
        <f>LEFT(A2,LEN(A2)-3)</f>
        <v>28-JAN</v>
      </c>
      <c r="H2" t="str">
        <f>RIGHT(A2,LEN(A2)-7)</f>
        <v>US</v>
      </c>
      <c r="I2" t="str">
        <f>CONCATENATE(B2," ",C2)</f>
        <v>Laptop Dell</v>
      </c>
    </row>
    <row r="3" spans="1:16" ht="15.75" customHeight="1" x14ac:dyDescent="0.2">
      <c r="A3" s="11" t="s">
        <v>28</v>
      </c>
      <c r="B3" s="11" t="s">
        <v>29</v>
      </c>
      <c r="C3" s="11" t="s">
        <v>30</v>
      </c>
      <c r="D3" s="17">
        <v>80</v>
      </c>
      <c r="E3" s="11">
        <v>15</v>
      </c>
      <c r="F3" s="11" t="s">
        <v>31</v>
      </c>
      <c r="G3" s="20" t="str">
        <f t="shared" ref="G3:G32" si="0">LEFT(A3,LEN(A3)-3)</f>
        <v>15-FEB</v>
      </c>
      <c r="H3" s="14" t="str">
        <f t="shared" ref="H3:H32" si="1">RIGHT(A3,LEN(A3)-7)</f>
        <v>US</v>
      </c>
      <c r="I3" s="12" t="str">
        <f t="shared" ref="I3:I32" si="2">CONCATENATE(B3," ",C3)</f>
        <v>Sneakers Nike</v>
      </c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32</v>
      </c>
      <c r="B4" s="10" t="s">
        <v>33</v>
      </c>
      <c r="C4" s="10" t="s">
        <v>34</v>
      </c>
      <c r="D4" s="16">
        <v>130</v>
      </c>
      <c r="E4" s="10">
        <v>40</v>
      </c>
      <c r="F4" s="10" t="s">
        <v>35</v>
      </c>
      <c r="G4" s="20" t="str">
        <f t="shared" si="0"/>
        <v>03-MAR</v>
      </c>
      <c r="H4" s="14" t="str">
        <f t="shared" si="1"/>
        <v>US</v>
      </c>
      <c r="I4" s="12" t="str">
        <f t="shared" si="2"/>
        <v>Coffee Maker Keurig</v>
      </c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36</v>
      </c>
      <c r="B5" s="11" t="s">
        <v>92</v>
      </c>
      <c r="C5" s="11" t="s">
        <v>37</v>
      </c>
      <c r="D5" s="17">
        <v>900</v>
      </c>
      <c r="E5" s="11">
        <v>25</v>
      </c>
      <c r="F5" s="11" t="s">
        <v>27</v>
      </c>
      <c r="G5" s="20" t="str">
        <f t="shared" si="0"/>
        <v>11-APR</v>
      </c>
      <c r="H5" s="14" t="str">
        <f t="shared" si="1"/>
        <v>US</v>
      </c>
      <c r="I5" s="12" t="str">
        <f t="shared" si="2"/>
        <v>Smartphone Samsung</v>
      </c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38</v>
      </c>
      <c r="B6" s="10" t="s">
        <v>39</v>
      </c>
      <c r="C6" s="10" t="s">
        <v>40</v>
      </c>
      <c r="D6" s="16">
        <v>70</v>
      </c>
      <c r="E6" s="10">
        <v>20</v>
      </c>
      <c r="F6" s="10" t="s">
        <v>113</v>
      </c>
      <c r="G6" s="20" t="str">
        <f t="shared" si="0"/>
        <v>22-MAY</v>
      </c>
      <c r="H6" s="14" t="str">
        <f t="shared" si="1"/>
        <v>US</v>
      </c>
      <c r="I6" s="12" t="str">
        <f t="shared" si="2"/>
        <v>Backpack North Face</v>
      </c>
    </row>
    <row r="7" spans="1:16" ht="15.75" customHeight="1" x14ac:dyDescent="0.2">
      <c r="A7" s="11" t="s">
        <v>41</v>
      </c>
      <c r="B7" s="11" t="s">
        <v>42</v>
      </c>
      <c r="C7" s="11" t="s">
        <v>43</v>
      </c>
      <c r="D7" s="17">
        <v>130</v>
      </c>
      <c r="E7" s="11">
        <v>45</v>
      </c>
      <c r="F7" s="11" t="s">
        <v>27</v>
      </c>
      <c r="G7" s="20" t="str">
        <f t="shared" si="0"/>
        <v>07-JUN</v>
      </c>
      <c r="H7" s="14" t="str">
        <f t="shared" si="1"/>
        <v>UK</v>
      </c>
      <c r="I7" s="12" t="str">
        <f t="shared" si="2"/>
        <v>Headphones Sony</v>
      </c>
    </row>
    <row r="8" spans="1:16" ht="15.75" customHeight="1" x14ac:dyDescent="0.2">
      <c r="A8" s="10" t="s">
        <v>44</v>
      </c>
      <c r="B8" s="10" t="s">
        <v>45</v>
      </c>
      <c r="C8" s="10" t="s">
        <v>46</v>
      </c>
      <c r="D8" s="16">
        <v>30</v>
      </c>
      <c r="E8" s="10">
        <v>5</v>
      </c>
      <c r="F8" s="10" t="s">
        <v>31</v>
      </c>
      <c r="G8" s="20" t="str">
        <f t="shared" si="0"/>
        <v>19-JUL</v>
      </c>
      <c r="H8" s="14" t="str">
        <f t="shared" si="1"/>
        <v>UK</v>
      </c>
      <c r="I8" s="12" t="str">
        <f t="shared" si="2"/>
        <v>T-shirt Adidas</v>
      </c>
    </row>
    <row r="9" spans="1:16" ht="15.75" customHeight="1" x14ac:dyDescent="0.2">
      <c r="A9" s="11" t="s">
        <v>47</v>
      </c>
      <c r="B9" s="11" t="s">
        <v>48</v>
      </c>
      <c r="C9" s="11" t="s">
        <v>49</v>
      </c>
      <c r="D9" s="17">
        <v>90</v>
      </c>
      <c r="E9" s="11">
        <v>35</v>
      </c>
      <c r="F9" s="11" t="s">
        <v>35</v>
      </c>
      <c r="G9" s="20" t="str">
        <f t="shared" si="0"/>
        <v>23-AUG</v>
      </c>
      <c r="H9" s="14" t="str">
        <f t="shared" si="1"/>
        <v>UK</v>
      </c>
      <c r="I9" s="12" t="str">
        <f t="shared" si="2"/>
        <v>Blender Ninja</v>
      </c>
    </row>
    <row r="10" spans="1:16" ht="15.75" customHeight="1" x14ac:dyDescent="0.2">
      <c r="A10" s="10" t="s">
        <v>50</v>
      </c>
      <c r="B10" s="10" t="s">
        <v>51</v>
      </c>
      <c r="C10" s="10" t="s">
        <v>52</v>
      </c>
      <c r="D10" s="16">
        <v>500</v>
      </c>
      <c r="E10" s="10">
        <v>50</v>
      </c>
      <c r="F10" s="10" t="s">
        <v>27</v>
      </c>
      <c r="G10" s="20" t="str">
        <f t="shared" si="0"/>
        <v>05-SEP</v>
      </c>
      <c r="H10" s="14" t="str">
        <f t="shared" si="1"/>
        <v>UK</v>
      </c>
      <c r="I10" s="12" t="str">
        <f t="shared" si="2"/>
        <v>Tablet Apple</v>
      </c>
    </row>
    <row r="11" spans="1:16" ht="15.75" customHeight="1" x14ac:dyDescent="0.2">
      <c r="A11" s="11" t="s">
        <v>53</v>
      </c>
      <c r="B11" s="11" t="s">
        <v>54</v>
      </c>
      <c r="C11" s="11" t="s">
        <v>55</v>
      </c>
      <c r="D11" s="17">
        <v>130</v>
      </c>
      <c r="E11" s="11">
        <v>10</v>
      </c>
      <c r="F11" s="11" t="s">
        <v>56</v>
      </c>
      <c r="G11" s="20" t="str">
        <f t="shared" si="0"/>
        <v>14-OCT</v>
      </c>
      <c r="H11" s="14" t="str">
        <f t="shared" si="1"/>
        <v>UK</v>
      </c>
      <c r="I11" s="12" t="str">
        <f t="shared" si="2"/>
        <v>Hiking Boots Timberland</v>
      </c>
    </row>
    <row r="12" spans="1:16" ht="15.75" customHeight="1" x14ac:dyDescent="0.2">
      <c r="A12" s="10" t="s">
        <v>57</v>
      </c>
      <c r="B12" s="10" t="s">
        <v>58</v>
      </c>
      <c r="C12" s="10" t="s">
        <v>59</v>
      </c>
      <c r="D12" s="16">
        <v>950</v>
      </c>
      <c r="E12" s="10">
        <v>25</v>
      </c>
      <c r="F12" s="10" t="s">
        <v>27</v>
      </c>
      <c r="G12" s="20" t="str">
        <f t="shared" si="0"/>
        <v>17-JUN</v>
      </c>
      <c r="H12" s="14" t="str">
        <f t="shared" si="1"/>
        <v>IN</v>
      </c>
      <c r="I12" s="12" t="str">
        <f t="shared" si="2"/>
        <v>Laptop HP</v>
      </c>
    </row>
    <row r="13" spans="1:16" ht="15.75" customHeight="1" x14ac:dyDescent="0.2">
      <c r="A13" s="11" t="s">
        <v>60</v>
      </c>
      <c r="B13" s="11" t="s">
        <v>29</v>
      </c>
      <c r="C13" s="11" t="s">
        <v>46</v>
      </c>
      <c r="D13" s="17">
        <v>90</v>
      </c>
      <c r="E13" s="11">
        <v>40</v>
      </c>
      <c r="F13" s="11" t="s">
        <v>114</v>
      </c>
      <c r="G13" s="20" t="str">
        <f t="shared" si="0"/>
        <v>25-NOV</v>
      </c>
      <c r="H13" s="14" t="str">
        <f t="shared" si="1"/>
        <v>AU</v>
      </c>
      <c r="I13" s="12" t="str">
        <f t="shared" si="2"/>
        <v>Sneakers Adidas</v>
      </c>
    </row>
    <row r="14" spans="1:16" ht="15.75" customHeight="1" x14ac:dyDescent="0.2">
      <c r="A14" s="10" t="s">
        <v>61</v>
      </c>
      <c r="B14" s="10" t="s">
        <v>33</v>
      </c>
      <c r="C14" s="10" t="s">
        <v>62</v>
      </c>
      <c r="D14" s="16">
        <v>120</v>
      </c>
      <c r="E14" s="10">
        <v>35</v>
      </c>
      <c r="F14" s="10" t="s">
        <v>114</v>
      </c>
      <c r="G14" s="20" t="str">
        <f t="shared" si="0"/>
        <v>08-DEC</v>
      </c>
      <c r="H14" s="14" t="str">
        <f t="shared" si="1"/>
        <v>DE</v>
      </c>
      <c r="I14" s="12" t="str">
        <f t="shared" si="2"/>
        <v>Coffee Maker Nespresso</v>
      </c>
    </row>
    <row r="15" spans="1:16" ht="15.75" customHeight="1" x14ac:dyDescent="0.2">
      <c r="A15" s="11" t="s">
        <v>63</v>
      </c>
      <c r="B15" s="11" t="s">
        <v>64</v>
      </c>
      <c r="C15" s="11" t="s">
        <v>65</v>
      </c>
      <c r="D15" s="17">
        <v>150</v>
      </c>
      <c r="E15" s="11">
        <v>15</v>
      </c>
      <c r="F15" s="11" t="s">
        <v>27</v>
      </c>
      <c r="G15" s="20" t="str">
        <f t="shared" si="0"/>
        <v>18-FEB</v>
      </c>
      <c r="H15" s="14" t="str">
        <f t="shared" si="1"/>
        <v>CA</v>
      </c>
      <c r="I15" s="12" t="str">
        <f t="shared" si="2"/>
        <v>Smartwatch Fitbit</v>
      </c>
    </row>
    <row r="16" spans="1:16" ht="15.75" customHeight="1" x14ac:dyDescent="0.2">
      <c r="A16" s="10" t="s">
        <v>66</v>
      </c>
      <c r="B16" s="10" t="s">
        <v>42</v>
      </c>
      <c r="C16" s="10" t="s">
        <v>67</v>
      </c>
      <c r="D16" s="16">
        <v>250</v>
      </c>
      <c r="E16" s="10">
        <v>20</v>
      </c>
      <c r="F16" s="10" t="s">
        <v>27</v>
      </c>
      <c r="G16" s="20" t="str">
        <f t="shared" si="0"/>
        <v>16-APR</v>
      </c>
      <c r="H16" s="14" t="str">
        <f t="shared" si="1"/>
        <v>ES</v>
      </c>
      <c r="I16" s="12" t="str">
        <f t="shared" si="2"/>
        <v>Headphones Bose</v>
      </c>
    </row>
    <row r="17" spans="1:9" ht="15.75" customHeight="1" x14ac:dyDescent="0.2">
      <c r="A17" s="11" t="s">
        <v>68</v>
      </c>
      <c r="B17" s="11" t="s">
        <v>69</v>
      </c>
      <c r="C17" s="11" t="s">
        <v>70</v>
      </c>
      <c r="D17" s="17">
        <v>50</v>
      </c>
      <c r="E17" s="11">
        <v>35</v>
      </c>
      <c r="F17" s="11" t="s">
        <v>71</v>
      </c>
      <c r="G17" s="20" t="str">
        <f t="shared" si="0"/>
        <v>21-AUG</v>
      </c>
      <c r="H17" s="14" t="str">
        <f t="shared" si="1"/>
        <v>CA</v>
      </c>
      <c r="I17" s="12" t="str">
        <f t="shared" si="2"/>
        <v>Laptop Bag Samsonite</v>
      </c>
    </row>
    <row r="18" spans="1:9" ht="15.75" customHeight="1" x14ac:dyDescent="0.2">
      <c r="A18" s="10" t="s">
        <v>72</v>
      </c>
      <c r="B18" s="10" t="s">
        <v>64</v>
      </c>
      <c r="C18" s="10" t="s">
        <v>73</v>
      </c>
      <c r="D18" s="16">
        <v>160</v>
      </c>
      <c r="E18" s="10">
        <v>15</v>
      </c>
      <c r="F18" s="10" t="s">
        <v>27</v>
      </c>
      <c r="G18" s="20" t="str">
        <f t="shared" si="0"/>
        <v>20-AUG</v>
      </c>
      <c r="H18" s="14" t="str">
        <f t="shared" si="1"/>
        <v>CN</v>
      </c>
      <c r="I18" s="12" t="str">
        <f t="shared" si="2"/>
        <v>Smartwatch Huawei</v>
      </c>
    </row>
    <row r="19" spans="1:9" ht="15.75" customHeight="1" x14ac:dyDescent="0.2">
      <c r="A19" s="11" t="s">
        <v>74</v>
      </c>
      <c r="B19" s="11" t="s">
        <v>58</v>
      </c>
      <c r="C19" s="11" t="s">
        <v>75</v>
      </c>
      <c r="D19" s="17">
        <v>980</v>
      </c>
      <c r="E19" s="11">
        <v>10</v>
      </c>
      <c r="F19" s="11" t="s">
        <v>27</v>
      </c>
      <c r="G19" s="20" t="str">
        <f t="shared" si="0"/>
        <v>27-JAN</v>
      </c>
      <c r="H19" s="14" t="str">
        <f t="shared" si="1"/>
        <v>IT</v>
      </c>
      <c r="I19" s="12" t="str">
        <f t="shared" si="2"/>
        <v>Laptop Asus</v>
      </c>
    </row>
    <row r="20" spans="1:9" ht="15.75" customHeight="1" x14ac:dyDescent="0.2">
      <c r="A20" s="10" t="s">
        <v>76</v>
      </c>
      <c r="B20" s="10" t="s">
        <v>77</v>
      </c>
      <c r="C20" s="10" t="s">
        <v>78</v>
      </c>
      <c r="D20" s="16">
        <v>150</v>
      </c>
      <c r="E20" s="10">
        <v>15</v>
      </c>
      <c r="F20" s="10" t="s">
        <v>31</v>
      </c>
      <c r="G20" s="20" t="str">
        <f t="shared" si="0"/>
        <v>01-MAR</v>
      </c>
      <c r="H20" s="14" t="str">
        <f t="shared" si="1"/>
        <v>UK</v>
      </c>
      <c r="I20" s="12" t="str">
        <f t="shared" si="2"/>
        <v>Sunglasses Oakley</v>
      </c>
    </row>
    <row r="21" spans="1:9" ht="15.75" customHeight="1" x14ac:dyDescent="0.2">
      <c r="A21" s="11" t="s">
        <v>79</v>
      </c>
      <c r="B21" s="11" t="s">
        <v>80</v>
      </c>
      <c r="C21" s="11" t="s">
        <v>81</v>
      </c>
      <c r="D21" s="17">
        <v>130</v>
      </c>
      <c r="E21" s="11">
        <v>10</v>
      </c>
      <c r="F21" s="11" t="s">
        <v>56</v>
      </c>
      <c r="G21" s="20" t="str">
        <f t="shared" si="0"/>
        <v>14-AUG</v>
      </c>
      <c r="H21" s="14" t="str">
        <f t="shared" si="1"/>
        <v>US</v>
      </c>
      <c r="I21" s="12" t="str">
        <f t="shared" si="2"/>
        <v>Camping Tent Coleman</v>
      </c>
    </row>
    <row r="22" spans="1:9" ht="15.75" customHeight="1" x14ac:dyDescent="0.2">
      <c r="A22" s="10" t="s">
        <v>82</v>
      </c>
      <c r="B22" s="10" t="s">
        <v>83</v>
      </c>
      <c r="C22" s="10" t="s">
        <v>84</v>
      </c>
      <c r="D22" s="16">
        <v>700</v>
      </c>
      <c r="E22" s="10">
        <v>50</v>
      </c>
      <c r="F22" s="10" t="s">
        <v>27</v>
      </c>
      <c r="G22" s="20" t="str">
        <f t="shared" si="0"/>
        <v>14-MAY</v>
      </c>
      <c r="H22" s="14" t="str">
        <f t="shared" si="1"/>
        <v>RU</v>
      </c>
      <c r="I22" s="12" t="str">
        <f t="shared" si="2"/>
        <v>Camera Nikon</v>
      </c>
    </row>
    <row r="23" spans="1:9" ht="15.75" customHeight="1" x14ac:dyDescent="0.2">
      <c r="A23" s="11" t="s">
        <v>85</v>
      </c>
      <c r="B23" s="11" t="s">
        <v>86</v>
      </c>
      <c r="C23" s="11" t="s">
        <v>87</v>
      </c>
      <c r="D23" s="17">
        <v>80</v>
      </c>
      <c r="E23" s="11">
        <v>20</v>
      </c>
      <c r="F23" s="11" t="s">
        <v>35</v>
      </c>
      <c r="G23" s="20" t="str">
        <f t="shared" si="0"/>
        <v>09-JAN</v>
      </c>
      <c r="H23" s="14" t="str">
        <f t="shared" si="1"/>
        <v>CA</v>
      </c>
      <c r="I23" s="12" t="str">
        <f t="shared" si="2"/>
        <v>Microwave Panasonic</v>
      </c>
    </row>
    <row r="24" spans="1:9" ht="15.75" customHeight="1" x14ac:dyDescent="0.2">
      <c r="A24" s="10" t="s">
        <v>88</v>
      </c>
      <c r="B24" s="10" t="s">
        <v>89</v>
      </c>
      <c r="C24" s="10" t="s">
        <v>90</v>
      </c>
      <c r="D24" s="16">
        <v>150</v>
      </c>
      <c r="E24" s="10">
        <v>30</v>
      </c>
      <c r="F24" s="10" t="s">
        <v>114</v>
      </c>
      <c r="G24" s="20" t="str">
        <f t="shared" si="0"/>
        <v>19-JUL</v>
      </c>
      <c r="H24" s="14" t="str">
        <f t="shared" si="1"/>
        <v>BR</v>
      </c>
      <c r="I24" s="12" t="str">
        <f t="shared" si="2"/>
        <v>Fitness Tracker Xiaomi</v>
      </c>
    </row>
    <row r="25" spans="1:9" ht="15.75" customHeight="1" x14ac:dyDescent="0.2">
      <c r="A25" s="10" t="s">
        <v>91</v>
      </c>
      <c r="B25" s="10" t="s">
        <v>92</v>
      </c>
      <c r="C25" s="10" t="s">
        <v>93</v>
      </c>
      <c r="D25" s="16">
        <v>800</v>
      </c>
      <c r="E25" s="10">
        <v>45</v>
      </c>
      <c r="F25" s="10" t="s">
        <v>27</v>
      </c>
      <c r="G25" s="20" t="str">
        <f t="shared" si="0"/>
        <v>29-SEP</v>
      </c>
      <c r="H25" s="14" t="str">
        <f t="shared" si="1"/>
        <v>CA</v>
      </c>
      <c r="I25" s="12" t="str">
        <f t="shared" si="2"/>
        <v>Smartphone Google</v>
      </c>
    </row>
    <row r="26" spans="1:9" ht="15.75" customHeight="1" x14ac:dyDescent="0.2">
      <c r="A26" s="11" t="s">
        <v>94</v>
      </c>
      <c r="B26" s="11" t="s">
        <v>77</v>
      </c>
      <c r="C26" s="11" t="s">
        <v>95</v>
      </c>
      <c r="D26" s="17">
        <v>130</v>
      </c>
      <c r="E26" s="11">
        <v>25</v>
      </c>
      <c r="F26" s="11" t="s">
        <v>31</v>
      </c>
      <c r="G26" s="20" t="str">
        <f t="shared" si="0"/>
        <v>03-JUN</v>
      </c>
      <c r="H26" s="14" t="str">
        <f t="shared" si="1"/>
        <v>CA</v>
      </c>
      <c r="I26" s="12" t="str">
        <f t="shared" si="2"/>
        <v>Sunglasses Ray-Ban</v>
      </c>
    </row>
    <row r="27" spans="1:9" ht="15.75" customHeight="1" x14ac:dyDescent="0.2">
      <c r="A27" s="10" t="s">
        <v>96</v>
      </c>
      <c r="B27" s="10" t="s">
        <v>48</v>
      </c>
      <c r="C27" s="10" t="s">
        <v>97</v>
      </c>
      <c r="D27" s="16">
        <v>400</v>
      </c>
      <c r="E27" s="10">
        <v>40</v>
      </c>
      <c r="F27" s="10" t="s">
        <v>35</v>
      </c>
      <c r="G27" s="20" t="str">
        <f t="shared" si="0"/>
        <v>11-JUL</v>
      </c>
      <c r="H27" s="14" t="str">
        <f t="shared" si="1"/>
        <v>CA</v>
      </c>
      <c r="I27" s="12" t="str">
        <f t="shared" si="2"/>
        <v>Blender Vitamix</v>
      </c>
    </row>
    <row r="28" spans="1:9" ht="15.75" customHeight="1" x14ac:dyDescent="0.2">
      <c r="A28" s="10" t="s">
        <v>98</v>
      </c>
      <c r="B28" s="10" t="s">
        <v>99</v>
      </c>
      <c r="C28" s="10" t="s">
        <v>100</v>
      </c>
      <c r="D28" s="16">
        <v>60</v>
      </c>
      <c r="E28" s="10">
        <v>30</v>
      </c>
      <c r="F28" s="10" t="s">
        <v>31</v>
      </c>
      <c r="G28" s="20" t="str">
        <f t="shared" si="0"/>
        <v>07-MAR</v>
      </c>
      <c r="H28" s="14" t="str">
        <f t="shared" si="1"/>
        <v>CA</v>
      </c>
      <c r="I28" s="12" t="str">
        <f t="shared" si="2"/>
        <v>Dress Zara</v>
      </c>
    </row>
    <row r="29" spans="1:9" ht="15.75" customHeight="1" x14ac:dyDescent="0.2">
      <c r="A29" s="11" t="s">
        <v>101</v>
      </c>
      <c r="B29" s="11" t="s">
        <v>102</v>
      </c>
      <c r="C29" s="11" t="s">
        <v>103</v>
      </c>
      <c r="D29" s="17">
        <v>40</v>
      </c>
      <c r="E29" s="11">
        <v>10</v>
      </c>
      <c r="F29" s="11" t="s">
        <v>35</v>
      </c>
      <c r="G29" s="20" t="str">
        <f t="shared" si="0"/>
        <v>13-APR</v>
      </c>
      <c r="H29" s="14" t="str">
        <f t="shared" si="1"/>
        <v>CA</v>
      </c>
      <c r="I29" s="12" t="str">
        <f t="shared" si="2"/>
        <v>Toaster Hamilton</v>
      </c>
    </row>
    <row r="30" spans="1:9" ht="15.75" customHeight="1" x14ac:dyDescent="0.2">
      <c r="A30" s="10" t="s">
        <v>104</v>
      </c>
      <c r="B30" s="10" t="s">
        <v>89</v>
      </c>
      <c r="C30" s="10" t="s">
        <v>105</v>
      </c>
      <c r="D30" s="16">
        <v>130</v>
      </c>
      <c r="E30" s="10">
        <v>5</v>
      </c>
      <c r="F30" s="10" t="s">
        <v>27</v>
      </c>
      <c r="G30" s="20" t="str">
        <f t="shared" si="0"/>
        <v>24-MAY</v>
      </c>
      <c r="H30" s="14" t="str">
        <f t="shared" si="1"/>
        <v>CA</v>
      </c>
      <c r="I30" s="12" t="str">
        <f t="shared" si="2"/>
        <v>Fitness Tracker Garmin</v>
      </c>
    </row>
    <row r="31" spans="1:9" ht="15.75" customHeight="1" x14ac:dyDescent="0.2">
      <c r="A31" s="11" t="s">
        <v>106</v>
      </c>
      <c r="B31" s="11" t="s">
        <v>107</v>
      </c>
      <c r="C31" s="11" t="s">
        <v>108</v>
      </c>
      <c r="D31" s="17">
        <v>50</v>
      </c>
      <c r="E31" s="11">
        <v>50</v>
      </c>
      <c r="F31" s="11" t="s">
        <v>31</v>
      </c>
      <c r="G31" s="20" t="str">
        <f t="shared" si="0"/>
        <v>02-DEC</v>
      </c>
      <c r="H31" s="14" t="str">
        <f t="shared" si="1"/>
        <v>CA</v>
      </c>
      <c r="I31" s="12" t="str">
        <f t="shared" si="2"/>
        <v>Jeans Levi's</v>
      </c>
    </row>
    <row r="32" spans="1:9" ht="15.75" customHeight="1" x14ac:dyDescent="0.2">
      <c r="A32" s="11" t="s">
        <v>109</v>
      </c>
      <c r="B32" s="11" t="s">
        <v>110</v>
      </c>
      <c r="C32" s="11" t="s">
        <v>111</v>
      </c>
      <c r="D32" s="17">
        <v>100</v>
      </c>
      <c r="E32" s="11">
        <v>20</v>
      </c>
      <c r="F32" s="11" t="s">
        <v>71</v>
      </c>
      <c r="G32" s="20" t="str">
        <f t="shared" si="0"/>
        <v>09-JUL</v>
      </c>
      <c r="H32" s="14" t="str">
        <f t="shared" si="1"/>
        <v>FR</v>
      </c>
      <c r="I32" s="12" t="str">
        <f t="shared" si="2"/>
        <v>Watch Casio</v>
      </c>
    </row>
    <row r="33" spans="1:12" ht="15.75" customHeight="1" x14ac:dyDescent="0.2"/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>
      <c r="A37">
        <v>1</v>
      </c>
      <c r="B37" s="28" t="s">
        <v>112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ht="15.75" customHeight="1" x14ac:dyDescent="0.2">
      <c r="A38" s="13" t="s">
        <v>115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ht="15.75" customHeight="1" x14ac:dyDescent="0.2">
      <c r="A39" s="13" t="s">
        <v>116</v>
      </c>
      <c r="B39" s="25" t="s">
        <v>117</v>
      </c>
      <c r="C39" s="25"/>
      <c r="D39" s="25"/>
      <c r="E39" s="25"/>
      <c r="F39" s="25"/>
      <c r="G39" s="25"/>
      <c r="H39" s="25"/>
      <c r="I39" s="25"/>
    </row>
    <row r="40" spans="1:12" ht="15.75" customHeight="1" x14ac:dyDescent="0.2">
      <c r="A40">
        <v>2</v>
      </c>
    </row>
    <row r="41" spans="1:12" ht="15.75" customHeight="1" x14ac:dyDescent="0.2">
      <c r="A41" s="13" t="s">
        <v>115</v>
      </c>
      <c r="B41" s="25" t="s">
        <v>118</v>
      </c>
      <c r="C41" s="25"/>
      <c r="D41" s="25"/>
      <c r="E41" s="25"/>
      <c r="F41" s="25"/>
      <c r="G41" s="25"/>
      <c r="H41" s="25"/>
      <c r="I41" s="25"/>
    </row>
    <row r="42" spans="1:12" ht="15.75" customHeight="1" x14ac:dyDescent="0.2">
      <c r="A42" s="13"/>
      <c r="B42" s="25" t="s">
        <v>119</v>
      </c>
      <c r="C42" s="25"/>
      <c r="D42" s="25"/>
      <c r="E42" s="25"/>
      <c r="F42" s="25"/>
      <c r="G42" s="25"/>
      <c r="H42" s="25"/>
    </row>
    <row r="43" spans="1:12" ht="15.75" customHeight="1" x14ac:dyDescent="0.2">
      <c r="A43" s="13" t="s">
        <v>116</v>
      </c>
      <c r="B43" s="25" t="s">
        <v>120</v>
      </c>
      <c r="C43" s="25"/>
      <c r="D43" s="25"/>
      <c r="E43" s="25"/>
      <c r="F43" s="25"/>
      <c r="G43" s="25"/>
      <c r="H43" s="25"/>
      <c r="I43" s="25"/>
    </row>
    <row r="44" spans="1:12" ht="15.75" customHeight="1" x14ac:dyDescent="0.2">
      <c r="A44" s="13" t="s">
        <v>121</v>
      </c>
      <c r="B44" s="27" t="s">
        <v>122</v>
      </c>
      <c r="C44" s="27"/>
      <c r="D44" s="27"/>
      <c r="E44" s="27"/>
      <c r="F44" s="27"/>
      <c r="G44" s="27"/>
      <c r="H44" s="27"/>
      <c r="I44" s="27"/>
    </row>
    <row r="45" spans="1:12" ht="15.75" customHeight="1" x14ac:dyDescent="0.2">
      <c r="A45">
        <v>3</v>
      </c>
      <c r="B45" s="24" t="s">
        <v>127</v>
      </c>
      <c r="C45" s="24"/>
      <c r="D45" s="24"/>
      <c r="E45" s="24"/>
      <c r="F45" s="24"/>
    </row>
    <row r="46" spans="1:12" ht="15.75" customHeight="1" x14ac:dyDescent="0.2">
      <c r="B46" s="24" t="s">
        <v>128</v>
      </c>
      <c r="C46" s="24"/>
      <c r="D46" s="24"/>
      <c r="E46" s="24"/>
      <c r="F46" s="24"/>
      <c r="G46" s="24"/>
      <c r="H46" s="24"/>
    </row>
    <row r="47" spans="1:12" ht="15.75" customHeight="1" x14ac:dyDescent="0.2">
      <c r="B47" s="25"/>
      <c r="C47" s="25"/>
      <c r="D47" s="25"/>
      <c r="E47" s="25"/>
      <c r="F47" s="25"/>
      <c r="G47" s="25"/>
      <c r="H47" s="25"/>
    </row>
    <row r="48" spans="1:12" ht="15.75" customHeight="1" x14ac:dyDescent="0.2">
      <c r="B48" s="25"/>
      <c r="C48" s="25"/>
      <c r="D48" s="25"/>
      <c r="E48" s="25"/>
      <c r="F48" s="25"/>
      <c r="G48" s="25"/>
      <c r="H48" s="25"/>
    </row>
    <row r="49" spans="2:9" ht="15.75" customHeight="1" x14ac:dyDescent="0.2"/>
    <row r="50" spans="2:9" ht="15.75" customHeight="1" x14ac:dyDescent="0.2">
      <c r="B50" s="26" t="s">
        <v>126</v>
      </c>
      <c r="C50" s="25"/>
      <c r="D50" s="25"/>
      <c r="E50" s="25"/>
      <c r="F50" s="25"/>
      <c r="G50" s="25"/>
      <c r="H50" s="25"/>
      <c r="I50" s="25"/>
    </row>
    <row r="51" spans="2:9" ht="15.75" customHeight="1" x14ac:dyDescent="0.2"/>
    <row r="52" spans="2:9" ht="15.75" customHeight="1" x14ac:dyDescent="0.2"/>
    <row r="53" spans="2:9" ht="15.75" customHeight="1" x14ac:dyDescent="0.2"/>
    <row r="54" spans="2:9" ht="15.75" customHeight="1" x14ac:dyDescent="0.2"/>
    <row r="55" spans="2:9" ht="15.75" customHeight="1" x14ac:dyDescent="0.2"/>
    <row r="56" spans="2:9" ht="15.75" customHeight="1" x14ac:dyDescent="0.2"/>
    <row r="57" spans="2:9" ht="15.75" customHeight="1" x14ac:dyDescent="0.2"/>
    <row r="58" spans="2:9" ht="15.75" customHeight="1" x14ac:dyDescent="0.2"/>
    <row r="59" spans="2:9" ht="15.75" customHeight="1" x14ac:dyDescent="0.2"/>
    <row r="60" spans="2:9" ht="15.75" customHeight="1" x14ac:dyDescent="0.2"/>
    <row r="61" spans="2:9" ht="15.75" customHeight="1" x14ac:dyDescent="0.2"/>
    <row r="62" spans="2:9" ht="15.75" customHeight="1" x14ac:dyDescent="0.2"/>
    <row r="63" spans="2:9" ht="15.75" customHeight="1" x14ac:dyDescent="0.2"/>
    <row r="64" spans="2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B44:I44"/>
    <mergeCell ref="B37:L38"/>
    <mergeCell ref="B39:I39"/>
    <mergeCell ref="B41:I41"/>
    <mergeCell ref="B42:H42"/>
    <mergeCell ref="B43:I43"/>
    <mergeCell ref="B46:H46"/>
    <mergeCell ref="B47:H47"/>
    <mergeCell ref="B50:I50"/>
    <mergeCell ref="B45:F45"/>
    <mergeCell ref="B48:H48"/>
  </mergeCells>
  <conditionalFormatting sqref="B1:B32 B36:B45 B48:B1048576">
    <cfRule type="expression" priority="5">
      <formula>EXACT</formula>
    </cfRule>
  </conditionalFormatting>
  <conditionalFormatting sqref="D1:D44 D49 D51:D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{A55DB057-D870-4425-9DD4-47825D80AC28}</x14:id>
        </ext>
      </extLst>
    </cfRule>
  </conditionalFormatting>
  <conditionalFormatting sqref="F1:F44 F49 F51:F1048576">
    <cfRule type="containsText" dxfId="0" priority="1" operator="containsText" text="Electronics">
      <formula>NOT(ISERROR(SEARCH("Electronics",F1)))</formula>
    </cfRule>
    <cfRule type="containsText" priority="2" operator="containsText" text="Electronics">
      <formula>NOT(ISERROR(SEARCH("Electronics",F1)))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B057-D870-4425-9DD4-47825D80AC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D1:D44 D49 D51:D1048576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2026-08-25T10:10:24Z</dcterms:created>
  <dcterms:modified xsi:type="dcterms:W3CDTF">2026-08-26T16:56:43Z</dcterms:modified>
</cp:coreProperties>
</file>